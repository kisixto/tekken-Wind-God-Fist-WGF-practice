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정 기준" sheetId="1" state="visible" r:id="rId3"/>
    <sheet name="커맨드" sheetId="2" state="visible" r:id="rId4"/>
    <sheet name="판정 결과" sheetId="3" state="visible" r:id="rId5"/>
    <sheet name="연습 목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<sst xmlns="http://schemas.openxmlformats.org/spreadsheetml/2006/main" count="159" uniqueCount="107">
  <si>
    <r>
      <rPr>
        <b val="true"/>
        <sz val="14"/>
        <rFont val="Noto Sans CJK SC"/>
        <family val="2"/>
      </rPr>
      <t xml:space="preserve">철권 콤보 연습실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판정 기준</t>
    </r>
  </si>
  <si>
    <r>
      <rPr>
        <i val="true"/>
        <sz val="11"/>
        <color rgb="FF666666"/>
        <rFont val="Noto Sans CJK SC"/>
        <family val="2"/>
      </rPr>
      <t xml:space="preserve">파란 글자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노란 칸이 입력값입니다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값은 </t>
    </r>
    <r>
      <rPr>
        <i val="true"/>
        <sz val="11"/>
        <color rgb="FF666666"/>
        <rFont val="Arial"/>
        <family val="0"/>
        <charset val="1"/>
      </rPr>
      <t xml:space="preserve">index.html</t>
    </r>
    <r>
      <rPr>
        <i val="true"/>
        <sz val="11"/>
        <color rgb="FF666666"/>
        <rFont val="Noto Sans CJK SC"/>
        <family val="2"/>
      </rPr>
      <t xml:space="preserve">의 판정 로직에서 그대로 옮겼습니다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기원초 프레임은 사용자 제공 값입니다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</si>
  <si>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</si>
  <si>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</si>
  <si>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단위</t>
  </si>
  <si>
    <t xml:space="preserve">설명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</si>
  <si>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공통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게임 프레임레이트</t>
    </r>
  </si>
  <si>
    <t xml:space="preserve">fps</t>
  </si>
  <si>
    <r>
      <rPr>
        <sz val="11"/>
        <rFont val="Noto Sans CJK SC"/>
        <family val="2"/>
      </rPr>
      <t xml:space="preserve">브라우저 시간을 이 값으로 나눠 프레임을 셉니다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</si>
  <si>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공통</t>
    </r>
    <r>
      <rPr>
        <sz val="11"/>
        <rFont val="Arial"/>
        <family val="0"/>
        <charset val="1"/>
      </rPr>
      <t xml:space="preserve">] 1</t>
    </r>
    <r>
      <rPr>
        <sz val="11"/>
        <rFont val="Noto Sans CJK SC"/>
        <family val="2"/>
      </rPr>
      <t xml:space="preserve">프레임 길이</t>
    </r>
  </si>
  <si>
    <t xml:space="preserve">ms</t>
  </si>
  <si>
    <t xml:space="preserve">프레임레이트에서 계산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</si>
  <si>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초풍신권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성공 허용 지연</t>
    </r>
  </si>
  <si>
    <t xml:space="preserve">F</t>
  </si>
  <si>
    <r>
      <rPr>
        <sz val="11"/>
        <rFont val="Noto Sans CJK SC"/>
        <family val="2"/>
      </rPr>
      <t xml:space="preserve">↘ 첫 프레임과 </t>
    </r>
    <r>
      <rPr>
        <sz val="11"/>
        <rFont val="Arial"/>
        <family val="0"/>
        <charset val="1"/>
      </rPr>
      <t xml:space="preserve">RP </t>
    </r>
    <r>
      <rPr>
        <sz val="11"/>
        <rFont val="Noto Sans CJK SC"/>
        <family val="2"/>
      </rPr>
      <t xml:space="preserve">입력 프레임의 차이</t>
    </r>
    <r>
      <rPr>
        <sz val="11"/>
        <rFont val="Arial"/>
        <family val="0"/>
        <charset val="1"/>
      </rPr>
      <t xml:space="preserve">. 0</t>
    </r>
    <r>
      <rPr>
        <sz val="11"/>
        <rFont val="Noto Sans CJK SC"/>
        <family val="2"/>
      </rPr>
      <t xml:space="preserve">이면 같은 프레임만 성공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</si>
  <si>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초풍신권</t>
    </r>
    <r>
      <rPr>
        <sz val="11"/>
        <rFont val="Arial"/>
        <family val="0"/>
        <charset val="1"/>
      </rPr>
      <t xml:space="preserve">] RP </t>
    </r>
    <r>
      <rPr>
        <sz val="11"/>
        <rFont val="Noto Sans CJK SC"/>
        <family val="2"/>
      </rPr>
      <t xml:space="preserve">빠름 판정 대기 최대</t>
    </r>
  </si>
  <si>
    <r>
      <rPr>
        <sz val="11"/>
        <rFont val="Noto Sans CJK SC"/>
        <family val="2"/>
      </rPr>
      <t xml:space="preserve">↓ 또는 </t>
    </r>
    <r>
      <rPr>
        <sz val="11"/>
        <rFont val="Arial"/>
        <family val="0"/>
        <charset val="1"/>
      </rPr>
      <t xml:space="preserve">N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를 누른 뒤 ↘를 기다리는 최대 프레임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</si>
  <si>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초풍신권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단축 커맨드 기본값</t>
    </r>
  </si>
  <si>
    <t xml:space="preserve">허용</t>
  </si>
  <si>
    <r>
      <rPr>
        <sz val="11"/>
        <rFont val="Noto Sans CJK SC"/>
        <family val="2"/>
      </rPr>
      <t xml:space="preserve">철권 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단축</t>
    </r>
    <r>
      <rPr>
        <sz val="11"/>
        <rFont val="Arial"/>
        <family val="0"/>
        <charset val="1"/>
      </rPr>
      <t xml:space="preserve">(→N↘+RP). </t>
    </r>
    <r>
      <rPr>
        <sz val="11"/>
        <rFont val="Noto Sans CJK SC"/>
        <family val="2"/>
      </rPr>
      <t xml:space="preserve">설정에서 끌 수 있음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</si>
  <si>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기원권 발생</t>
    </r>
  </si>
  <si>
    <r>
      <rPr>
        <sz val="11"/>
        <rFont val="Arial"/>
        <family val="0"/>
        <charset val="1"/>
      </rPr>
      <t xml:space="preserve">↘+RP, 14F</t>
    </r>
    <r>
      <rPr>
        <sz val="11"/>
        <rFont val="Noto Sans CJK SC"/>
        <family val="2"/>
      </rPr>
      <t xml:space="preserve">에 카운터 히트로 처리 </t>
    </r>
    <r>
      <rPr>
        <sz val="11"/>
        <rFont val="Arial"/>
        <family val="0"/>
        <charset val="1"/>
      </rPr>
      <t xml:space="preserve">(TekkenDocs i14)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</si>
  <si>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경직 마지막 프레임</t>
    </r>
  </si>
  <si>
    <r>
      <rPr>
        <sz val="11"/>
        <rFont val="Noto Sans CJK SC"/>
        <family val="2"/>
      </rPr>
      <t xml:space="preserve">기원권 입력 프레임 </t>
    </r>
    <r>
      <rPr>
        <sz val="11"/>
        <rFont val="Arial"/>
        <family val="0"/>
        <charset val="1"/>
      </rPr>
      <t xml:space="preserve">= 1F. 1~46F </t>
    </r>
    <r>
      <rPr>
        <sz val="11"/>
        <rFont val="Noto Sans CJK SC"/>
        <family val="2"/>
      </rPr>
      <t xml:space="preserve">경직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</si>
  <si>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커맨드 첫 프레임 </t>
    </r>
    <r>
      <rPr>
        <sz val="11"/>
        <rFont val="Arial"/>
        <family val="0"/>
        <charset val="1"/>
      </rPr>
      <t xml:space="preserve">(→)</t>
    </r>
  </si>
  <si>
    <t xml:space="preserve">경직 직후 프레임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</si>
  <si>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초풍 히트 구간 끝</t>
    </r>
  </si>
  <si>
    <r>
      <rPr>
        <sz val="11"/>
        <rFont val="Arial"/>
        <family val="0"/>
        <charset val="1"/>
      </rPr>
      <t xml:space="preserve">47~59F </t>
    </r>
    <r>
      <rPr>
        <sz val="11"/>
        <rFont val="Noto Sans CJK SC"/>
        <family val="2"/>
      </rPr>
      <t xml:space="preserve">사이에 초풍이 맞아야 함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</si>
  <si>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초풍 발동</t>
    </r>
  </si>
  <si>
    <t xml:space="preserve">무족 초풍 순수 발동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</si>
  <si>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↘+RP </t>
    </r>
    <r>
      <rPr>
        <sz val="11"/>
        <rFont val="Noto Sans CJK SC"/>
        <family val="2"/>
      </rPr>
      <t xml:space="preserve">마지막 허용 프레임</t>
    </r>
  </si>
  <si>
    <r>
      <rPr>
        <sz val="11"/>
        <rFont val="Noto Sans CJK SC"/>
        <family val="2"/>
      </rPr>
      <t xml:space="preserve">히트 구간 끝 </t>
    </r>
    <r>
      <rPr>
        <sz val="11"/>
        <rFont val="Arial"/>
        <family val="0"/>
        <charset val="1"/>
      </rPr>
      <t xml:space="preserve">- (</t>
    </r>
    <r>
      <rPr>
        <sz val="11"/>
        <rFont val="Noto Sans CJK SC"/>
        <family val="2"/>
      </rPr>
      <t xml:space="preserve">발동 </t>
    </r>
    <r>
      <rPr>
        <sz val="11"/>
        <rFont val="Arial"/>
        <family val="0"/>
        <charset val="1"/>
      </rPr>
      <t xml:space="preserve">- 1)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</si>
  <si>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커맨드 구간 길이</t>
    </r>
  </si>
  <si>
    <r>
      <rPr>
        <sz val="11"/>
        <rFont val="Arial"/>
        <family val="0"/>
        <charset val="1"/>
      </rPr>
      <t xml:space="preserve">→ · N(</t>
    </r>
    <r>
      <rPr>
        <sz val="11"/>
        <rFont val="Noto Sans CJK SC"/>
        <family val="2"/>
      </rPr>
      <t xml:space="preserve">또는 ↓</t>
    </r>
    <r>
      <rPr>
        <sz val="11"/>
        <rFont val="Arial"/>
        <family val="0"/>
        <charset val="1"/>
      </rPr>
      <t xml:space="preserve">) · ↘+RP </t>
    </r>
    <r>
      <rPr>
        <sz val="11"/>
        <rFont val="Noto Sans CJK SC"/>
        <family val="2"/>
      </rPr>
      <t xml:space="preserve">를 한 프레임씩 넣는 길이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</si>
  <si>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커맨드 구간 시간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</si>
  <si>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판정 대기 한도</t>
    </r>
  </si>
  <si>
    <r>
      <rPr>
        <sz val="11"/>
        <rFont val="Noto Sans CJK SC"/>
        <family val="2"/>
      </rPr>
      <t xml:space="preserve">이 프레임까지 ↘</t>
    </r>
    <r>
      <rPr>
        <sz val="11"/>
        <rFont val="Arial"/>
        <family val="0"/>
        <charset val="1"/>
      </rPr>
      <t xml:space="preserve">+RP</t>
    </r>
    <r>
      <rPr>
        <sz val="11"/>
        <rFont val="Noto Sans CJK SC"/>
        <family val="2"/>
      </rPr>
      <t xml:space="preserve">가 없으면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입력 없음</t>
    </r>
    <r>
      <rPr>
        <sz val="11"/>
        <rFont val="Arial"/>
        <family val="0"/>
        <charset val="1"/>
      </rPr>
      <t xml:space="preserve">'</t>
    </r>
  </si>
  <si>
    <t xml:space="preserve">탭</t>
  </si>
  <si>
    <t xml:space="preserve">커맨드</t>
  </si>
  <si>
    <t xml:space="preserve">화살표 표기</t>
  </si>
  <si>
    <t xml:space="preserve">넘버패드 표기</t>
  </si>
  <si>
    <t xml:space="preserve">페이지 판정</t>
  </si>
  <si>
    <t xml:space="preserve">초풍신권</t>
  </si>
  <si>
    <t xml:space="preserve">정식</t>
  </si>
  <si>
    <t xml:space="preserve">→ N ↓ ↘ + RP</t>
  </si>
  <si>
    <t xml:space="preserve">6 N 2 3+RP</t>
  </si>
  <si>
    <t xml:space="preserve">성공</t>
  </si>
  <si>
    <r>
      <rPr>
        <sz val="11"/>
        <rFont val="Noto Sans CJK SC"/>
        <family val="2"/>
      </rPr>
      <t xml:space="preserve">철권 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단축</t>
    </r>
  </si>
  <si>
    <t xml:space="preserve">→ N ↘ + RP</t>
  </si>
  <si>
    <t xml:space="preserve">6 N 3+RP</t>
  </si>
  <si>
    <r>
      <rPr>
        <sz val="11"/>
        <rFont val="Noto Sans CJK SC"/>
        <family val="2"/>
      </rPr>
      <t xml:space="preserve">단축 커맨드 허용일 때 성공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끄면 ↓ 누락</t>
    </r>
  </si>
  <si>
    <t xml:space="preserve">중립 없음</t>
  </si>
  <si>
    <t xml:space="preserve">→ ↓ ↘ + RP</t>
  </si>
  <si>
    <t xml:space="preserve">6 2 3+RP</t>
  </si>
  <si>
    <r>
      <rPr>
        <sz val="11"/>
        <rFont val="Noto Sans CJK SC"/>
        <family val="2"/>
      </rPr>
      <t xml:space="preserve">중립</t>
    </r>
    <r>
      <rPr>
        <sz val="11"/>
        <rFont val="Arial"/>
        <family val="0"/>
        <charset val="1"/>
      </rPr>
      <t xml:space="preserve">(N) </t>
    </r>
    <r>
      <rPr>
        <sz val="11"/>
        <rFont val="Noto Sans CJK SC"/>
        <family val="2"/>
      </rPr>
      <t xml:space="preserve">누락</t>
    </r>
  </si>
  <si>
    <t xml:space="preserve">기원초</t>
  </si>
  <si>
    <t xml:space="preserve">기원권</t>
  </si>
  <si>
    <t xml:space="preserve">↘ + RP</t>
  </si>
  <si>
    <t xml:space="preserve">3+RP</t>
  </si>
  <si>
    <r>
      <rPr>
        <sz val="11"/>
        <rFont val="Arial"/>
        <family val="0"/>
        <charset val="1"/>
      </rPr>
      <t xml:space="preserve">1F, </t>
    </r>
    <r>
      <rPr>
        <sz val="11"/>
        <rFont val="Noto Sans CJK SC"/>
        <family val="2"/>
      </rPr>
      <t xml:space="preserve">카운터 히트로 처리</t>
    </r>
  </si>
  <si>
    <t xml:space="preserve">무족초</t>
  </si>
  <si>
    <t xml:space="preserve">47F → · 48F N · 49F ↘+RP</t>
  </si>
  <si>
    <t xml:space="preserve">세 프레임에 정확히 들어가면 기원초</t>
  </si>
  <si>
    <t xml:space="preserve">중립 생략</t>
  </si>
  <si>
    <t xml:space="preserve">47F → · 48F ↓ · 49F ↘+RP</t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</si>
  <si>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프레임이라 들어가지 않음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기원삑초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</si>
  <si>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Noto Sans CJK SC"/>
        <family val="2"/>
      </rPr>
      <t xml:space="preserve">버튼</t>
    </r>
    <r>
      <rPr>
        <i val="true"/>
        <sz val="11"/>
        <color rgb="FF666666"/>
        <rFont val="Arial"/>
        <family val="0"/>
        <charset val="1"/>
      </rPr>
      <t xml:space="preserve">: U=LP, I=RP, J=LK, K=RK · </t>
    </r>
    <r>
      <rPr>
        <i val="true"/>
        <sz val="11"/>
        <color rgb="FF666666"/>
        <rFont val="Noto Sans CJK SC"/>
        <family val="2"/>
      </rPr>
      <t xml:space="preserve">패드</t>
    </r>
    <r>
      <rPr>
        <i val="true"/>
        <sz val="11"/>
        <color rgb="FF666666"/>
        <rFont val="Arial"/>
        <family val="0"/>
        <charset val="1"/>
      </rPr>
      <t xml:space="preserve">(Xbox) X=LP, Y=RP, A=LK, B=RK · N = </t>
    </r>
    <r>
      <rPr>
        <i val="true"/>
        <sz val="11"/>
        <color rgb="FF666666"/>
        <rFont val="Noto Sans CJK SC"/>
        <family val="2"/>
      </rPr>
      <t xml:space="preserve">중립</t>
    </r>
  </si>
  <si>
    <t xml:space="preserve">표시</t>
  </si>
  <si>
    <t xml:space="preserve">성공 여부</t>
  </si>
  <si>
    <t xml:space="preserve">조건</t>
  </si>
  <si>
    <r>
      <rPr>
        <sz val="11"/>
        <rFont val="Noto Sans CJK SC"/>
        <family val="2"/>
      </rPr>
      <t xml:space="preserve">초풍신권</t>
    </r>
    <r>
      <rPr>
        <sz val="11"/>
        <rFont val="Arial"/>
        <family val="0"/>
        <charset val="1"/>
      </rPr>
      <t xml:space="preserve">!</t>
    </r>
  </si>
  <si>
    <r>
      <rPr>
        <sz val="11"/>
        <rFont val="Noto Sans CJK SC"/>
        <family val="2"/>
      </rPr>
      <t xml:space="preserve">↘ 첫 프레임에 </t>
    </r>
    <r>
      <rPr>
        <sz val="11"/>
        <rFont val="Arial"/>
        <family val="0"/>
        <charset val="1"/>
      </rPr>
      <t xml:space="preserve">RP</t>
    </r>
  </si>
  <si>
    <t xml:space="preserve">풍신권</t>
  </si>
  <si>
    <t xml:space="preserve">실패</t>
  </si>
  <si>
    <r>
      <rPr>
        <sz val="11"/>
        <rFont val="Noto Sans CJK SC"/>
        <family val="2"/>
      </rPr>
      <t xml:space="preserve">↘ 상태에서 </t>
    </r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1F </t>
    </r>
    <r>
      <rPr>
        <sz val="11"/>
        <rFont val="Noto Sans CJK SC"/>
        <family val="2"/>
      </rPr>
      <t xml:space="preserve">이상 늦음</t>
    </r>
  </si>
  <si>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nF </t>
    </r>
    <r>
      <rPr>
        <sz val="11"/>
        <rFont val="Noto Sans CJK SC"/>
        <family val="2"/>
      </rPr>
      <t xml:space="preserve">빠름</t>
    </r>
  </si>
  <si>
    <r>
      <rPr>
        <sz val="11"/>
        <rFont val="Noto Sans CJK SC"/>
        <family val="2"/>
      </rPr>
      <t xml:space="preserve">↘ 전에 </t>
    </r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가 먼저 입력</t>
    </r>
  </si>
  <si>
    <t xml:space="preserve">→ 다음에 중립 없이 ↓ 또는 ↘</t>
  </si>
  <si>
    <t xml:space="preserve">↓ 누락</t>
  </si>
  <si>
    <r>
      <rPr>
        <sz val="11"/>
        <rFont val="Noto Sans CJK SC"/>
        <family val="2"/>
      </rPr>
      <t xml:space="preserve">단축 커맨드가 꺼진 상태에서 → </t>
    </r>
    <r>
      <rPr>
        <sz val="11"/>
        <rFont val="Arial"/>
        <family val="0"/>
        <charset val="1"/>
      </rPr>
      <t xml:space="preserve">N ↘ + RP</t>
    </r>
  </si>
  <si>
    <r>
      <rPr>
        <sz val="11"/>
        <rFont val="Noto Sans CJK SC"/>
        <family val="2"/>
      </rPr>
      <t xml:space="preserve">→ 누락 </t>
    </r>
    <r>
      <rPr>
        <sz val="11"/>
        <rFont val="Arial"/>
        <family val="0"/>
        <charset val="1"/>
      </rPr>
      <t xml:space="preserve">/ ↘ </t>
    </r>
    <r>
      <rPr>
        <sz val="11"/>
        <rFont val="Noto Sans CJK SC"/>
        <family val="2"/>
      </rPr>
      <t xml:space="preserve">미완성</t>
    </r>
  </si>
  <si>
    <r>
      <rPr>
        <sz val="11"/>
        <rFont val="Noto Sans CJK SC"/>
        <family val="2"/>
      </rPr>
      <t xml:space="preserve">→ 없이 시작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또는 ↓ 다음 ↘가 안 들어옴</t>
    </r>
  </si>
  <si>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!</t>
    </r>
  </si>
  <si>
    <r>
      <rPr>
        <sz val="11"/>
        <rFont val="Arial"/>
        <family val="0"/>
        <charset val="1"/>
      </rPr>
      <t xml:space="preserve">47F →, 48F N </t>
    </r>
    <r>
      <rPr>
        <sz val="11"/>
        <rFont val="Noto Sans CJK SC"/>
        <family val="2"/>
      </rPr>
      <t xml:space="preserve">또는 ↓</t>
    </r>
    <r>
      <rPr>
        <sz val="11"/>
        <rFont val="Arial"/>
        <family val="0"/>
        <charset val="1"/>
      </rPr>
      <t xml:space="preserve">, 49F ↘+RP</t>
    </r>
  </si>
  <si>
    <t xml:space="preserve">기원삑초</t>
  </si>
  <si>
    <r>
      <rPr>
        <sz val="11"/>
        <rFont val="Noto Sans CJK SC"/>
        <family val="2"/>
      </rPr>
      <t xml:space="preserve">→ 는 </t>
    </r>
    <r>
      <rPr>
        <sz val="11"/>
        <rFont val="Arial"/>
        <family val="0"/>
        <charset val="1"/>
      </rPr>
      <t xml:space="preserve">47F </t>
    </r>
    <r>
      <rPr>
        <sz val="11"/>
        <rFont val="Noto Sans CJK SC"/>
        <family val="2"/>
      </rPr>
      <t xml:space="preserve">이후지만 ↘</t>
    </r>
    <r>
      <rPr>
        <sz val="11"/>
        <rFont val="Arial"/>
        <family val="0"/>
        <charset val="1"/>
      </rPr>
      <t xml:space="preserve">+RP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49F</t>
    </r>
    <r>
      <rPr>
        <sz val="11"/>
        <rFont val="Noto Sans CJK SC"/>
        <family val="2"/>
      </rPr>
      <t xml:space="preserve">보다 늦음 </t>
    </r>
    <r>
      <rPr>
        <sz val="11"/>
        <rFont val="Arial"/>
        <family val="0"/>
        <charset val="1"/>
      </rPr>
      <t xml:space="preserve">(60F </t>
    </r>
    <r>
      <rPr>
        <sz val="11"/>
        <rFont val="Noto Sans CJK SC"/>
        <family val="2"/>
      </rPr>
      <t xml:space="preserve">이후 히트</t>
    </r>
    <r>
      <rPr>
        <sz val="11"/>
        <rFont val="Arial"/>
        <family val="0"/>
        <charset val="1"/>
      </rPr>
      <t xml:space="preserve">)</t>
    </r>
  </si>
  <si>
    <t xml:space="preserve">기원권이 다시 나감</t>
  </si>
  <si>
    <r>
      <rPr>
        <sz val="11"/>
        <rFont val="Noto Sans CJK SC"/>
        <family val="2"/>
      </rPr>
      <t xml:space="preserve">경직 중</t>
    </r>
    <r>
      <rPr>
        <sz val="11"/>
        <rFont val="Arial"/>
        <family val="0"/>
        <charset val="1"/>
      </rPr>
      <t xml:space="preserve">(46F </t>
    </r>
    <r>
      <rPr>
        <sz val="11"/>
        <rFont val="Noto Sans CJK SC"/>
        <family val="2"/>
      </rPr>
      <t xml:space="preserve">이전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 ↘</t>
    </r>
    <r>
      <rPr>
        <sz val="11"/>
        <rFont val="Arial"/>
        <family val="0"/>
        <charset val="1"/>
      </rPr>
      <t xml:space="preserve">+RP, </t>
    </r>
    <r>
      <rPr>
        <sz val="11"/>
        <rFont val="Noto Sans CJK SC"/>
        <family val="2"/>
      </rPr>
      <t xml:space="preserve">또는 → 가 </t>
    </r>
    <r>
      <rPr>
        <sz val="11"/>
        <rFont val="Arial"/>
        <family val="0"/>
        <charset val="1"/>
      </rPr>
      <t xml:space="preserve">46F </t>
    </r>
    <r>
      <rPr>
        <sz val="11"/>
        <rFont val="Noto Sans CJK SC"/>
        <family val="2"/>
      </rPr>
      <t xml:space="preserve">이전에 끝남</t>
    </r>
  </si>
  <si>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가 너무 빠름</t>
    </r>
  </si>
  <si>
    <r>
      <rPr>
        <sz val="11"/>
        <rFont val="Noto Sans CJK SC"/>
        <family val="2"/>
      </rPr>
      <t xml:space="preserve">경직 중에 </t>
    </r>
    <r>
      <rPr>
        <sz val="11"/>
        <rFont val="Arial"/>
        <family val="0"/>
        <charset val="1"/>
      </rPr>
      <t xml:space="preserve">RP</t>
    </r>
  </si>
  <si>
    <r>
      <rPr>
        <sz val="11"/>
        <rFont val="Noto Sans CJK SC"/>
        <family val="2"/>
      </rPr>
      <t xml:space="preserve">↘보다 </t>
    </r>
    <r>
      <rPr>
        <sz val="11"/>
        <rFont val="Arial"/>
        <family val="0"/>
        <charset val="1"/>
      </rPr>
      <t xml:space="preserve">RP</t>
    </r>
    <r>
      <rPr>
        <sz val="11"/>
        <rFont val="Noto Sans CJK SC"/>
        <family val="2"/>
      </rPr>
      <t xml:space="preserve">가 늦음</t>
    </r>
  </si>
  <si>
    <r>
      <rPr>
        <sz val="11"/>
        <rFont val="Noto Sans CJK SC"/>
        <family val="2"/>
      </rPr>
      <t xml:space="preserve">↓와 </t>
    </r>
    <r>
      <rPr>
        <sz val="11"/>
        <rFont val="Arial"/>
        <family val="0"/>
        <charset val="1"/>
      </rPr>
      <t xml:space="preserve">N </t>
    </r>
    <r>
      <rPr>
        <sz val="11"/>
        <rFont val="Noto Sans CJK SC"/>
        <family val="2"/>
      </rPr>
      <t xml:space="preserve">누락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커맨드 없음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다른 기술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입력 없음</t>
    </r>
  </si>
  <si>
    <r>
      <rPr>
        <sz val="11"/>
        <rFont val="Noto Sans CJK SC"/>
        <family val="2"/>
      </rPr>
      <t xml:space="preserve">커맨드 형태가 맞지 않거나 </t>
    </r>
    <r>
      <rPr>
        <sz val="11"/>
        <rFont val="Arial"/>
        <family val="0"/>
        <charset val="1"/>
      </rPr>
      <t xml:space="preserve">80F</t>
    </r>
    <r>
      <rPr>
        <sz val="11"/>
        <rFont val="Noto Sans CJK SC"/>
        <family val="2"/>
      </rPr>
      <t xml:space="preserve">까지 입력 없음</t>
    </r>
  </si>
  <si>
    <t xml:space="preserve">성공률로 보는 연습 목표</t>
  </si>
  <si>
    <r>
      <rPr>
        <i val="true"/>
        <sz val="11"/>
        <color rgb="FF666666"/>
        <rFont val="Noto Sans CJK SC"/>
        <family val="2"/>
      </rPr>
      <t xml:space="preserve">페이지의 통계를 넣으면 성공률과 연속 성공 확률이 계산됩니다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아래 값은 예시입니다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</si>
  <si>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시도</t>
  </si>
  <si>
    <r>
      <rPr>
        <sz val="11"/>
        <rFont val="Noto Sans CJK SC"/>
        <family val="2"/>
      </rPr>
      <t xml:space="preserve">페이지의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시도</t>
    </r>
    <r>
      <rPr>
        <sz val="11"/>
        <rFont val="Arial"/>
        <family val="0"/>
        <charset val="1"/>
      </rPr>
      <t xml:space="preserve">'</t>
    </r>
  </si>
  <si>
    <r>
      <rPr>
        <sz val="11"/>
        <rFont val="Noto Sans CJK SC"/>
        <family val="2"/>
      </rPr>
      <t xml:space="preserve">페이지의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초풍신권</t>
    </r>
    <r>
      <rPr>
        <sz val="11"/>
        <rFont val="Arial"/>
        <family val="0"/>
        <charset val="1"/>
      </rPr>
      <t xml:space="preserve">' / '</t>
    </r>
    <r>
      <rPr>
        <sz val="11"/>
        <rFont val="Noto Sans CJK SC"/>
        <family val="2"/>
      </rPr>
      <t xml:space="preserve">기원초</t>
    </r>
    <r>
      <rPr>
        <sz val="11"/>
        <rFont val="Arial"/>
        <family val="0"/>
        <charset val="1"/>
      </rPr>
      <t xml:space="preserve">'</t>
    </r>
  </si>
  <si>
    <t xml:space="preserve">성공률</t>
  </si>
  <si>
    <t xml:space="preserve">목표 성공률</t>
  </si>
  <si>
    <t xml:space="preserve">직접 정하는 목표</t>
  </si>
  <si>
    <t xml:space="preserve">목표까지 남은 성공률</t>
  </si>
  <si>
    <t xml:space="preserve">연속 성공 횟수</t>
  </si>
  <si>
    <r>
      <rPr>
        <b val="true"/>
        <sz val="11"/>
        <color rgb="FFFFFFFF"/>
        <rFont val="Noto Sans CJK SC"/>
        <family val="2"/>
      </rPr>
      <t xml:space="preserve">초풍신권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현재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</si>
  <si>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기원초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현재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</si>
  <si>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기원초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목표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</si>
  <si>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11"/>
        <color rgb="FF666666"/>
        <rFont val="Noto Sans CJK SC"/>
        <family val="2"/>
      </rPr>
      <t xml:space="preserve">연속 </t>
    </r>
    <r>
      <rPr>
        <i val="true"/>
        <sz val="11"/>
        <color rgb="FF666666"/>
        <rFont val="Arial"/>
        <family val="0"/>
        <charset val="1"/>
      </rPr>
      <t xml:space="preserve">n</t>
    </r>
    <r>
      <rPr>
        <i val="true"/>
        <sz val="11"/>
        <color rgb="FF666666"/>
        <rFont val="Noto Sans CJK SC"/>
        <family val="2"/>
      </rPr>
      <t xml:space="preserve">번 성공 확률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성공률</t>
    </r>
    <r>
      <rPr>
        <i val="true"/>
        <sz val="11"/>
        <color rgb="FF666666"/>
        <rFont val="Arial"/>
        <family val="0"/>
        <charset val="1"/>
      </rPr>
      <t xml:space="preserve">^n. </t>
    </r>
    <r>
      <rPr>
        <i val="true"/>
        <sz val="11"/>
        <color rgb="FF666666"/>
        <rFont val="Noto Sans CJK SC"/>
        <family val="2"/>
      </rPr>
      <t xml:space="preserve">시도가 서로 독립이라고 가정한 값입니다</t>
    </r>
    <r>
      <rPr>
        <i val="true"/>
        <sz val="11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</si>
</sst>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3552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5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62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7.15" hidden="false" customHeight="false" outlineLevel="0" collapsed="false">
      <c r="A5" s="4" t="s">
        <v>6</v>
      </c>
      <c r="B5" s="5" t="n">
        <v>60</v>
      </c>
      <c r="C5" s="4" t="s">
        <v>7</v>
      </c>
      <c r="D5" s="6" t="s">
        <v>8</v>
      </c>
    </row>
    <row r="6" customFormat="false" ht="17.15" hidden="false" customHeight="false" outlineLevel="0" collapsed="false">
      <c r="A6" s="4" t="s">
        <v>9</v>
      </c>
      <c r="B6" s="7" t="n">
        <f aca="false">1000/B5</f>
        <v>16.6666666666667</v>
      </c>
      <c r="C6" s="4" t="s">
        <v>10</v>
      </c>
      <c r="D6" s="6" t="s">
        <v>11</v>
      </c>
    </row>
    <row r="7" customFormat="false" ht="17.15" hidden="false" customHeight="false" outlineLevel="0" collapsed="false">
      <c r="A7" s="4" t="s">
        <v>12</v>
      </c>
      <c r="B7" s="5" t="n">
        <v>0</v>
      </c>
      <c r="C7" s="4" t="s">
        <v>13</v>
      </c>
      <c r="D7" s="6" t="s">
        <v>14</v>
      </c>
    </row>
    <row r="8" customFormat="false" ht="17.15" hidden="false" customHeight="false" outlineLevel="0" collapsed="false">
      <c r="A8" s="4" t="s">
        <v>15</v>
      </c>
      <c r="B8" s="5" t="n">
        <v>8</v>
      </c>
      <c r="C8" s="4" t="s">
        <v>13</v>
      </c>
      <c r="D8" s="6" t="s">
        <v>16</v>
      </c>
    </row>
    <row r="9" customFormat="false" ht="17.15" hidden="false" customHeight="false" outlineLevel="0" collapsed="false">
      <c r="A9" s="4" t="s">
        <v>17</v>
      </c>
      <c r="B9" s="8" t="s">
        <v>18</v>
      </c>
      <c r="C9" s="4"/>
      <c r="D9" s="6" t="s">
        <v>19</v>
      </c>
    </row>
    <row r="10" customFormat="false" ht="17.15" hidden="false" customHeight="false" outlineLevel="0" collapsed="false">
      <c r="A10" s="4" t="s">
        <v>20</v>
      </c>
      <c r="B10" s="5" t="n">
        <v>14</v>
      </c>
      <c r="C10" s="4" t="s">
        <v>13</v>
      </c>
      <c r="D10" s="4" t="s">
        <v>21</v>
      </c>
    </row>
    <row r="11" customFormat="false" ht="17.15" hidden="false" customHeight="false" outlineLevel="0" collapsed="false">
      <c r="A11" s="4" t="s">
        <v>22</v>
      </c>
      <c r="B11" s="5" t="n">
        <v>46</v>
      </c>
      <c r="C11" s="4" t="s">
        <v>13</v>
      </c>
      <c r="D11" s="6" t="s">
        <v>23</v>
      </c>
    </row>
    <row r="12" customFormat="false" ht="17.15" hidden="false" customHeight="false" outlineLevel="0" collapsed="false">
      <c r="A12" s="4" t="s">
        <v>24</v>
      </c>
      <c r="B12" s="4" t="n">
        <f aca="false">B11+1</f>
        <v>47</v>
      </c>
      <c r="C12" s="4" t="s">
        <v>13</v>
      </c>
      <c r="D12" s="6" t="s">
        <v>25</v>
      </c>
    </row>
    <row r="13" customFormat="false" ht="17.15" hidden="false" customHeight="false" outlineLevel="0" collapsed="false">
      <c r="A13" s="4" t="s">
        <v>26</v>
      </c>
      <c r="B13" s="5" t="n">
        <v>59</v>
      </c>
      <c r="C13" s="4" t="s">
        <v>13</v>
      </c>
      <c r="D13" s="4" t="s">
        <v>27</v>
      </c>
    </row>
    <row r="14" customFormat="false" ht="17.15" hidden="false" customHeight="false" outlineLevel="0" collapsed="false">
      <c r="A14" s="4" t="s">
        <v>28</v>
      </c>
      <c r="B14" s="5" t="n">
        <v>11</v>
      </c>
      <c r="C14" s="4" t="s">
        <v>13</v>
      </c>
      <c r="D14" s="6" t="s">
        <v>29</v>
      </c>
    </row>
    <row r="15" customFormat="false" ht="17.15" hidden="false" customHeight="false" outlineLevel="0" collapsed="false">
      <c r="A15" s="4" t="s">
        <v>30</v>
      </c>
      <c r="B15" s="4" t="n">
        <f aca="false">B13-(B14-1)</f>
        <v>49</v>
      </c>
      <c r="C15" s="4" t="s">
        <v>13</v>
      </c>
      <c r="D15" s="6" t="s">
        <v>31</v>
      </c>
    </row>
    <row r="16" customFormat="false" ht="17.15" hidden="false" customHeight="false" outlineLevel="0" collapsed="false">
      <c r="A16" s="4" t="s">
        <v>32</v>
      </c>
      <c r="B16" s="4" t="n">
        <f aca="false">B15-B12+1</f>
        <v>3</v>
      </c>
      <c r="C16" s="4" t="s">
        <v>13</v>
      </c>
      <c r="D16" s="4" t="s">
        <v>33</v>
      </c>
    </row>
    <row r="17" customFormat="false" ht="17.15" hidden="false" customHeight="false" outlineLevel="0" collapsed="false">
      <c r="A17" s="4" t="s">
        <v>34</v>
      </c>
      <c r="B17" s="7" t="n">
        <f aca="false">B16*B6</f>
        <v>50</v>
      </c>
      <c r="C17" s="4" t="s">
        <v>10</v>
      </c>
      <c r="D17" s="4"/>
    </row>
    <row r="18" customFormat="false" ht="17.15" hidden="false" customHeight="false" outlineLevel="0" collapsed="false">
      <c r="A18" s="4" t="s">
        <v>35</v>
      </c>
      <c r="B18" s="5" t="n">
        <v>80</v>
      </c>
      <c r="C18" s="4" t="s">
        <v>13</v>
      </c>
      <c r="D18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15" hidden="false" customHeight="fals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 customFormat="false" ht="15" hidden="false" customHeight="false" outlineLevel="0" collapsed="false">
      <c r="A2" s="6" t="s">
        <v>42</v>
      </c>
      <c r="B2" s="6" t="s">
        <v>43</v>
      </c>
      <c r="C2" s="4" t="s">
        <v>44</v>
      </c>
      <c r="D2" s="4" t="s">
        <v>45</v>
      </c>
      <c r="E2" s="6" t="s">
        <v>46</v>
      </c>
    </row>
    <row r="3" customFormat="false" ht="17.15" hidden="false" customHeight="false" outlineLevel="0" collapsed="false">
      <c r="A3" s="6" t="s">
        <v>42</v>
      </c>
      <c r="B3" s="6" t="s">
        <v>47</v>
      </c>
      <c r="C3" s="4" t="s">
        <v>48</v>
      </c>
      <c r="D3" s="4" t="s">
        <v>49</v>
      </c>
      <c r="E3" s="6" t="s">
        <v>50</v>
      </c>
    </row>
    <row r="4" customFormat="false" ht="17.15" hidden="false" customHeight="false" outlineLevel="0" collapsed="false">
      <c r="A4" s="6" t="s">
        <v>42</v>
      </c>
      <c r="B4" s="6" t="s">
        <v>51</v>
      </c>
      <c r="C4" s="4" t="s">
        <v>52</v>
      </c>
      <c r="D4" s="4" t="s">
        <v>53</v>
      </c>
      <c r="E4" s="6" t="s">
        <v>54</v>
      </c>
    </row>
    <row r="5" customFormat="false" ht="17.15" hidden="false" customHeight="false" outlineLevel="0" collapsed="false">
      <c r="A5" s="6" t="s">
        <v>55</v>
      </c>
      <c r="B5" s="6" t="s">
        <v>56</v>
      </c>
      <c r="C5" s="4" t="s">
        <v>57</v>
      </c>
      <c r="D5" s="4" t="s">
        <v>58</v>
      </c>
      <c r="E5" s="4" t="s">
        <v>59</v>
      </c>
    </row>
    <row r="6" customFormat="false" ht="15" hidden="false" customHeight="false" outlineLevel="0" collapsed="false">
      <c r="A6" s="6" t="s">
        <v>55</v>
      </c>
      <c r="B6" s="6" t="s">
        <v>60</v>
      </c>
      <c r="C6" s="4" t="s">
        <v>61</v>
      </c>
      <c r="D6" s="4" t="s">
        <v>49</v>
      </c>
      <c r="E6" s="6" t="s">
        <v>62</v>
      </c>
    </row>
    <row r="7" customFormat="false" ht="15" hidden="false" customHeight="false" outlineLevel="0" collapsed="false">
      <c r="A7" s="6" t="s">
        <v>55</v>
      </c>
      <c r="B7" s="6" t="s">
        <v>63</v>
      </c>
      <c r="C7" s="4" t="s">
        <v>64</v>
      </c>
      <c r="D7" s="4" t="s">
        <v>53</v>
      </c>
      <c r="E7" s="6" t="s">
        <v>62</v>
      </c>
    </row>
    <row r="8" customFormat="false" ht="17.15" hidden="false" customHeight="false" outlineLevel="0" collapsed="false">
      <c r="A8" s="6" t="s">
        <v>55</v>
      </c>
      <c r="B8" s="6" t="s">
        <v>43</v>
      </c>
      <c r="C8" s="4" t="s">
        <v>44</v>
      </c>
      <c r="D8" s="4" t="s">
        <v>45</v>
      </c>
      <c r="E8" s="4" t="s">
        <v>65</v>
      </c>
    </row>
    <row r="10" customFormat="false" ht="17.15" hidden="false" customHeight="false" outlineLevel="0" collapsed="false">
      <c r="A1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7.15" hidden="false" customHeight="false" outlineLevel="0" collapsed="false">
      <c r="A1" s="3" t="s">
        <v>37</v>
      </c>
      <c r="B1" s="3" t="s">
        <v>67</v>
      </c>
      <c r="C1" s="3" t="s">
        <v>68</v>
      </c>
      <c r="D1" s="3" t="s">
        <v>69</v>
      </c>
    </row>
    <row r="2" customFormat="false" ht="17.15" hidden="false" customHeight="false" outlineLevel="0" collapsed="false">
      <c r="A2" s="6" t="s">
        <v>42</v>
      </c>
      <c r="B2" s="6" t="s">
        <v>70</v>
      </c>
      <c r="C2" s="6" t="s">
        <v>46</v>
      </c>
      <c r="D2" s="6" t="s">
        <v>71</v>
      </c>
    </row>
    <row r="3" customFormat="false" ht="17.15" hidden="false" customHeight="false" outlineLevel="0" collapsed="false">
      <c r="A3" s="6" t="s">
        <v>42</v>
      </c>
      <c r="B3" s="6" t="s">
        <v>72</v>
      </c>
      <c r="C3" s="6" t="s">
        <v>73</v>
      </c>
      <c r="D3" s="6" t="s">
        <v>74</v>
      </c>
    </row>
    <row r="4" customFormat="false" ht="17.15" hidden="false" customHeight="false" outlineLevel="0" collapsed="false">
      <c r="A4" s="6" t="s">
        <v>42</v>
      </c>
      <c r="B4" s="4" t="s">
        <v>75</v>
      </c>
      <c r="C4" s="6" t="s">
        <v>73</v>
      </c>
      <c r="D4" s="6" t="s">
        <v>76</v>
      </c>
    </row>
    <row r="5" customFormat="false" ht="17.15" hidden="false" customHeight="false" outlineLevel="0" collapsed="false">
      <c r="A5" s="6" t="s">
        <v>42</v>
      </c>
      <c r="B5" s="6" t="s">
        <v>54</v>
      </c>
      <c r="C5" s="6" t="s">
        <v>73</v>
      </c>
      <c r="D5" s="6" t="s">
        <v>77</v>
      </c>
    </row>
    <row r="6" customFormat="false" ht="17.15" hidden="false" customHeight="false" outlineLevel="0" collapsed="false">
      <c r="A6" s="6" t="s">
        <v>42</v>
      </c>
      <c r="B6" s="6" t="s">
        <v>78</v>
      </c>
      <c r="C6" s="6" t="s">
        <v>73</v>
      </c>
      <c r="D6" s="6" t="s">
        <v>79</v>
      </c>
    </row>
    <row r="7" customFormat="false" ht="17.15" hidden="false" customHeight="false" outlineLevel="0" collapsed="false">
      <c r="A7" s="6" t="s">
        <v>42</v>
      </c>
      <c r="B7" s="6" t="s">
        <v>80</v>
      </c>
      <c r="C7" s="6" t="s">
        <v>73</v>
      </c>
      <c r="D7" s="6" t="s">
        <v>81</v>
      </c>
    </row>
    <row r="8" customFormat="false" ht="17.15" hidden="false" customHeight="false" outlineLevel="0" collapsed="false">
      <c r="A8" s="6" t="s">
        <v>55</v>
      </c>
      <c r="B8" s="6" t="s">
        <v>82</v>
      </c>
      <c r="C8" s="6" t="s">
        <v>46</v>
      </c>
      <c r="D8" s="4" t="s">
        <v>83</v>
      </c>
    </row>
    <row r="9" customFormat="false" ht="17.15" hidden="false" customHeight="false" outlineLevel="0" collapsed="false">
      <c r="A9" s="6" t="s">
        <v>55</v>
      </c>
      <c r="B9" s="6" t="s">
        <v>84</v>
      </c>
      <c r="C9" s="6" t="s">
        <v>73</v>
      </c>
      <c r="D9" s="6" t="s">
        <v>85</v>
      </c>
    </row>
    <row r="10" customFormat="false" ht="17.15" hidden="false" customHeight="false" outlineLevel="0" collapsed="false">
      <c r="A10" s="6" t="s">
        <v>55</v>
      </c>
      <c r="B10" s="6" t="s">
        <v>86</v>
      </c>
      <c r="C10" s="6" t="s">
        <v>73</v>
      </c>
      <c r="D10" s="6" t="s">
        <v>87</v>
      </c>
    </row>
    <row r="11" customFormat="false" ht="17.15" hidden="false" customHeight="false" outlineLevel="0" collapsed="false">
      <c r="A11" s="6" t="s">
        <v>55</v>
      </c>
      <c r="B11" s="4" t="s">
        <v>88</v>
      </c>
      <c r="C11" s="6" t="s">
        <v>73</v>
      </c>
      <c r="D11" s="6" t="s">
        <v>89</v>
      </c>
    </row>
    <row r="12" customFormat="false" ht="17.15" hidden="false" customHeight="false" outlineLevel="0" collapsed="false">
      <c r="A12" s="6" t="s">
        <v>55</v>
      </c>
      <c r="B12" s="6" t="s">
        <v>72</v>
      </c>
      <c r="C12" s="6" t="s">
        <v>73</v>
      </c>
      <c r="D12" s="6" t="s">
        <v>90</v>
      </c>
    </row>
    <row r="13" customFormat="false" ht="17.15" hidden="false" customHeight="false" outlineLevel="0" collapsed="false">
      <c r="A13" s="6" t="s">
        <v>55</v>
      </c>
      <c r="B13" s="6" t="s">
        <v>91</v>
      </c>
      <c r="C13" s="6" t="s">
        <v>73</v>
      </c>
      <c r="D13" s="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93</v>
      </c>
    </row>
    <row r="2" customFormat="false" ht="17.15" hidden="false" customHeight="false" outlineLevel="0" collapsed="false">
      <c r="A2" s="2" t="s">
        <v>94</v>
      </c>
    </row>
    <row r="4" customFormat="false" ht="17.15" hidden="false" customHeight="false" outlineLevel="0" collapsed="false">
      <c r="A4" s="3" t="s">
        <v>2</v>
      </c>
      <c r="B4" s="3" t="s">
        <v>42</v>
      </c>
      <c r="C4" s="3" t="s">
        <v>55</v>
      </c>
      <c r="D4" s="3" t="s">
        <v>5</v>
      </c>
    </row>
    <row r="5" customFormat="false" ht="17.15" hidden="false" customHeight="false" outlineLevel="0" collapsed="false">
      <c r="A5" s="6" t="s">
        <v>95</v>
      </c>
      <c r="B5" s="5" t="n">
        <v>50</v>
      </c>
      <c r="C5" s="5" t="n">
        <v>40</v>
      </c>
      <c r="D5" s="6" t="s">
        <v>96</v>
      </c>
    </row>
    <row r="6" customFormat="false" ht="17.15" hidden="false" customHeight="false" outlineLevel="0" collapsed="false">
      <c r="A6" s="6" t="s">
        <v>46</v>
      </c>
      <c r="B6" s="5" t="n">
        <v>18</v>
      </c>
      <c r="C6" s="5" t="n">
        <v>6</v>
      </c>
      <c r="D6" s="6" t="s">
        <v>97</v>
      </c>
    </row>
    <row r="7" customFormat="false" ht="15" hidden="false" customHeight="false" outlineLevel="0" collapsed="false">
      <c r="A7" s="6" t="s">
        <v>98</v>
      </c>
      <c r="B7" s="9" t="n">
        <f aca="false">IF(B5=0,0,B6/B5)</f>
        <v>0.36</v>
      </c>
      <c r="C7" s="9" t="n">
        <f aca="false">IF(C5=0,0,C6/C5)</f>
        <v>0.15</v>
      </c>
      <c r="D7" s="4"/>
    </row>
    <row r="8" customFormat="false" ht="15" hidden="false" customHeight="false" outlineLevel="0" collapsed="false">
      <c r="A8" s="6" t="s">
        <v>99</v>
      </c>
      <c r="B8" s="10" t="n">
        <v>0.8</v>
      </c>
      <c r="C8" s="10" t="n">
        <v>0.5</v>
      </c>
      <c r="D8" s="6" t="s">
        <v>100</v>
      </c>
    </row>
    <row r="9" customFormat="false" ht="15" hidden="false" customHeight="false" outlineLevel="0" collapsed="false">
      <c r="A9" s="6" t="s">
        <v>101</v>
      </c>
      <c r="B9" s="9" t="n">
        <f aca="false">MAX(0,B8-B7)</f>
        <v>0.44</v>
      </c>
      <c r="C9" s="9" t="n">
        <f aca="false">MAX(0,C8-C7)</f>
        <v>0.35</v>
      </c>
      <c r="D9" s="4"/>
    </row>
    <row r="11" customFormat="false" ht="17.15" hidden="false" customHeight="false" outlineLevel="0" collapsed="false">
      <c r="A11" s="3" t="s">
        <v>102</v>
      </c>
      <c r="B11" s="3" t="s">
        <v>103</v>
      </c>
      <c r="C11" s="3" t="s">
        <v>104</v>
      </c>
      <c r="D11" s="3" t="s">
        <v>105</v>
      </c>
    </row>
    <row r="12" customFormat="false" ht="15" hidden="false" customHeight="false" outlineLevel="0" collapsed="false">
      <c r="A12" s="5" t="n">
        <v>2</v>
      </c>
      <c r="B12" s="9" t="n">
        <f aca="false">$B$7^A12</f>
        <v>0.1296</v>
      </c>
      <c r="C12" s="9" t="n">
        <f aca="false">$C$7^A12</f>
        <v>0.0225</v>
      </c>
      <c r="D12" s="9" t="n">
        <f aca="false">$C$8^A12</f>
        <v>0.25</v>
      </c>
    </row>
    <row r="13" customFormat="false" ht="15" hidden="false" customHeight="false" outlineLevel="0" collapsed="false">
      <c r="A13" s="5" t="n">
        <v>3</v>
      </c>
      <c r="B13" s="9" t="n">
        <f aca="false">$B$7^A13</f>
        <v>0.046656</v>
      </c>
      <c r="C13" s="9" t="n">
        <f aca="false">$C$7^A13</f>
        <v>0.003375</v>
      </c>
      <c r="D13" s="9" t="n">
        <f aca="false">$C$8^A13</f>
        <v>0.125</v>
      </c>
    </row>
    <row r="14" customFormat="false" ht="15" hidden="false" customHeight="false" outlineLevel="0" collapsed="false">
      <c r="A14" s="5" t="n">
        <v>5</v>
      </c>
      <c r="B14" s="9" t="n">
        <f aca="false">$B$7^A14</f>
        <v>0.0060466176</v>
      </c>
      <c r="C14" s="9" t="n">
        <f aca="false">$C$7^A14</f>
        <v>7.59375E-005</v>
      </c>
      <c r="D14" s="9" t="n">
        <f aca="false">$C$8^A14</f>
        <v>0.03125</v>
      </c>
    </row>
    <row r="15" customFormat="false" ht="15" hidden="false" customHeight="false" outlineLevel="0" collapsed="false">
      <c r="A15" s="5" t="n">
        <v>10</v>
      </c>
      <c r="B15" s="9" t="n">
        <f aca="false">$B$7^A15</f>
        <v>3.65615844006298E-005</v>
      </c>
      <c r="C15" s="9" t="n">
        <f aca="false">$C$7^A15</f>
        <v>5.76650390625E-009</v>
      </c>
      <c r="D15" s="9" t="n">
        <f aca="false">$C$8^A15</f>
        <v>0.0009765625</v>
      </c>
    </row>
    <row r="17" customFormat="false" ht="17.15" hidden="false" customHeight="false" outlineLevel="0" collapsed="false">
      <c r="A17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2026-10-09T13:25:32Z</dcterms:created>
  <dc:creator>openpyxl</dc:creator>
  <dc:description/>
  <dc:language>en-US</dc:language>
  <cp:lastModifiedBy/>
  <dcterms:modified xsi:type="dcterms:W3CDTF">2026-10-09T13:25:32Z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